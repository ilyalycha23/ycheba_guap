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" sheetId="1" state="visible" r:id="rId1"/>
    <sheet xmlns:r="http://schemas.openxmlformats.org/officeDocument/2006/relationships" name="Рейтинг" sheetId="2" state="visible" r:id="rId2"/>
    <sheet xmlns:r="http://schemas.openxmlformats.org/officeDocument/2006/relationships" name="Чувствитель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Параметр</t>
        </is>
      </c>
      <c r="B1" s="1" t="inlineStr">
        <is>
          <t>А. Поролон-Север (Вологда)</t>
        </is>
      </c>
      <c r="C1" s="1" t="inlineStr">
        <is>
          <t>Б. Теплолист СПб</t>
        </is>
      </c>
      <c r="D1" s="1" t="inlineStr">
        <is>
          <t>В. ПеноПласт-НН (Нижний Новгород)</t>
        </is>
      </c>
    </row>
    <row r="2">
      <c r="A2" s="2" t="inlineStr">
        <is>
          <t>Цена листа ППЭ 30 мм, ₽</t>
        </is>
      </c>
      <c r="B2" s="2" t="n">
        <v>1180</v>
      </c>
      <c r="C2" s="2" t="n">
        <v>1410</v>
      </c>
      <c r="D2" s="2" t="n">
        <v>1050</v>
      </c>
    </row>
    <row r="3">
      <c r="A3" s="2" t="inlineStr">
        <is>
          <t>Срок поставки, дни</t>
        </is>
      </c>
      <c r="B3" s="2" t="n">
        <v>10</v>
      </c>
      <c r="C3" s="2" t="n">
        <v>2</v>
      </c>
      <c r="D3" s="2" t="n">
        <v>18</v>
      </c>
    </row>
    <row r="4">
      <c r="A4" s="2" t="inlineStr">
        <is>
          <t>Минимальная партия, листов</t>
        </is>
      </c>
      <c r="B4" s="2" t="n">
        <v>160</v>
      </c>
      <c r="C4" s="2" t="n">
        <v>40</v>
      </c>
      <c r="D4" s="2" t="n">
        <v>400</v>
      </c>
    </row>
    <row r="5">
      <c r="A5" s="2" t="inlineStr">
        <is>
          <t>Предоплата, %</t>
        </is>
      </c>
      <c r="B5" s="2" t="n">
        <v>40</v>
      </c>
      <c r="C5" s="2" t="n">
        <v>0</v>
      </c>
      <c r="D5" s="2" t="n">
        <v>100</v>
      </c>
    </row>
    <row r="6">
      <c r="A6" s="2" t="inlineStr">
        <is>
          <t>Постоплата, дни</t>
        </is>
      </c>
      <c r="B6" s="2" t="n">
        <v>0</v>
      </c>
      <c r="C6" s="2" t="n">
        <v>10</v>
      </c>
      <c r="D6" s="2" t="n">
        <v>0</v>
      </c>
    </row>
    <row r="7">
      <c r="A7" s="2" t="inlineStr">
        <is>
          <t>Доставка, ₽/рейс</t>
        </is>
      </c>
      <c r="B7" s="2" t="n">
        <v>29000</v>
      </c>
      <c r="C7" s="2" t="n">
        <v>6500</v>
      </c>
      <c r="D7" s="2" t="n">
        <v>48000</v>
      </c>
    </row>
    <row r="8">
      <c r="A8" s="2" t="inlineStr">
        <is>
          <t>Бесплатная доставка от, листов</t>
        </is>
      </c>
      <c r="B8" s="2" t="n">
        <v>0</v>
      </c>
      <c r="C8" s="2" t="n">
        <v>80</v>
      </c>
      <c r="D8" s="2" t="n">
        <v>0</v>
      </c>
    </row>
    <row r="9">
      <c r="A9" s="2" t="inlineStr">
        <is>
          <t>Лет на рынке</t>
        </is>
      </c>
      <c r="B9" s="2" t="n">
        <v>5</v>
      </c>
      <c r="C9" s="2" t="n">
        <v>12</v>
      </c>
      <c r="D9" s="2" t="n">
        <v>4</v>
      </c>
    </row>
    <row r="10">
      <c r="A10" s="2" t="inlineStr">
        <is>
          <t>Конфликты по браку за год</t>
        </is>
      </c>
      <c r="B10" s="2" t="n">
        <v>0</v>
      </c>
      <c r="C10" s="2" t="n">
        <v>1</v>
      </c>
      <c r="D10" s="2" t="n">
        <v>0</v>
      </c>
    </row>
    <row r="11">
      <c r="A11" s="2" t="inlineStr">
        <is>
          <t>Возврат брака, дней</t>
        </is>
      </c>
      <c r="B11" s="2" t="n">
        <v>0</v>
      </c>
      <c r="C11" s="2" t="n">
        <v>7</v>
      </c>
      <c r="D11" s="2" t="n">
        <v>0</v>
      </c>
    </row>
    <row r="12">
      <c r="A12" s="2" t="inlineStr">
        <is>
          <t>Лимит брака, % партии</t>
        </is>
      </c>
      <c r="B12" s="2" t="n">
        <v>1.5</v>
      </c>
      <c r="C12" s="2" t="n">
        <v>4</v>
      </c>
      <c r="D12" s="2" t="n">
        <v>2.5</v>
      </c>
    </row>
    <row r="13">
      <c r="A13" s="2" t="inlineStr">
        <is>
          <t>Сертификация</t>
        </is>
      </c>
      <c r="B13" s="2" t="inlineStr">
        <is>
          <t>ЕАС</t>
        </is>
      </c>
      <c r="C13" s="2" t="inlineStr">
        <is>
          <t>ЕАС + ISO 9001</t>
        </is>
      </c>
      <c r="D13" s="2" t="inlineStr">
        <is>
          <t>ЕАС</t>
        </is>
      </c>
    </row>
    <row r="14">
      <c r="A14" s="2" t="inlineStr">
        <is>
          <t>Потребность, листов/мес</t>
        </is>
      </c>
      <c r="B14" s="2" t="n">
        <v>480</v>
      </c>
      <c r="C14" s="2" t="n">
        <v>480</v>
      </c>
      <c r="D14" s="2" t="n">
        <v>480</v>
      </c>
    </row>
    <row r="15">
      <c r="A15" s="2" t="inlineStr">
        <is>
          <t>Стоимость партии, ₽</t>
        </is>
      </c>
      <c r="B15" s="3">
        <f>B2*$B$14</f>
        <v/>
      </c>
      <c r="C15" s="3">
        <f>C2*$C$14</f>
        <v/>
      </c>
      <c r="D15" s="3">
        <f>D2*$D$14</f>
        <v/>
      </c>
    </row>
    <row r="16">
      <c r="A16" s="2" t="inlineStr">
        <is>
          <t>Число рейсов в месяц</t>
        </is>
      </c>
      <c r="B16" s="3" t="n">
        <v>1</v>
      </c>
      <c r="C16" s="3" t="n">
        <v>1</v>
      </c>
      <c r="D16" s="3" t="n">
        <v>1</v>
      </c>
    </row>
    <row r="17">
      <c r="A17" s="2" t="inlineStr">
        <is>
          <t>Затраты на доставку, ₽</t>
        </is>
      </c>
      <c r="B17" s="3">
        <f>B7*B16</f>
        <v/>
      </c>
      <c r="C17" s="3">
        <f>IF(C14&gt;=C8,0,C7*C16)</f>
        <v/>
      </c>
      <c r="D17" s="3">
        <f>D7*D16</f>
        <v/>
      </c>
    </row>
    <row r="18">
      <c r="A18" s="2" t="inlineStr">
        <is>
          <t>Итого за месяц, ₽</t>
        </is>
      </c>
      <c r="B18" s="3">
        <f>B15+B17</f>
        <v/>
      </c>
      <c r="C18" s="3">
        <f>C15+C17</f>
        <v/>
      </c>
      <c r="D18" s="3">
        <f>D15+D17</f>
        <v/>
      </c>
    </row>
    <row r="19">
      <c r="A19" s="2" t="inlineStr">
        <is>
          <t>Полная цена листа, ₽</t>
        </is>
      </c>
      <c r="B19" s="3">
        <f>B18/$B$14</f>
        <v/>
      </c>
      <c r="C19" s="3">
        <f>C18/$C$14</f>
        <v/>
      </c>
      <c r="D19" s="3">
        <f>D18/$D$14</f>
        <v/>
      </c>
    </row>
    <row r="20">
      <c r="A20" s="2" t="inlineStr">
        <is>
          <t>JIT: партия Б 40 листов, доставка, ₽</t>
        </is>
      </c>
      <c r="B20" s="3" t="n"/>
      <c r="C20" s="3">
        <f>IF(40&gt;=C8,0,C7)</f>
        <v/>
      </c>
      <c r="D20" s="3" t="n"/>
    </row>
    <row r="21">
      <c r="A21" s="2" t="inlineStr">
        <is>
          <t>JIT: полная цена листа Б, ₽</t>
        </is>
      </c>
      <c r="B21" s="3" t="n"/>
      <c r="C21" s="3">
        <f>C2+C20/40</f>
        <v/>
      </c>
      <c r="D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5" customWidth="1" min="9" max="9"/>
  </cols>
  <sheetData>
    <row r="1">
      <c r="A1" s="1" t="inlineStr">
        <is>
          <t>Критерий</t>
        </is>
      </c>
      <c r="B1" s="1" t="inlineStr">
        <is>
          <t>Вес, %</t>
        </is>
      </c>
      <c r="C1" s="1" t="inlineStr">
        <is>
          <t>А, балл</t>
        </is>
      </c>
      <c r="D1" s="1" t="inlineStr">
        <is>
          <t>Б, балл</t>
        </is>
      </c>
      <c r="E1" s="1" t="inlineStr">
        <is>
          <t>В, балл</t>
        </is>
      </c>
      <c r="F1" s="1" t="inlineStr">
        <is>
          <t>А, вклад</t>
        </is>
      </c>
      <c r="G1" s="1" t="inlineStr">
        <is>
          <t>Б, вклад</t>
        </is>
      </c>
      <c r="H1" s="1" t="inlineStr">
        <is>
          <t>В, вклад</t>
        </is>
      </c>
      <c r="I1" s="1" t="inlineStr">
        <is>
          <t>Пояснение балла</t>
        </is>
      </c>
    </row>
    <row r="2">
      <c r="A2" s="2" t="inlineStr">
        <is>
          <t>Цена с логистикой (ниже — лучше)</t>
        </is>
      </c>
      <c r="B2" s="2" t="n">
        <v>25</v>
      </c>
      <c r="C2" s="2" t="n">
        <v>7</v>
      </c>
      <c r="D2" s="2" t="n">
        <v>4</v>
      </c>
      <c r="E2" s="2" t="n">
        <v>10</v>
      </c>
      <c r="F2" s="2">
        <f>C2*B2/100</f>
        <v/>
      </c>
      <c r="G2" s="2">
        <f>D2*B2/100</f>
        <v/>
      </c>
      <c r="H2" s="2">
        <f>E2*B2/100</f>
        <v/>
      </c>
      <c r="I2" s="2" t="inlineStr">
        <is>
          <t>В 1150 ₽/лист, А 1240,42 ₽, Б 1410 ₽</t>
        </is>
      </c>
    </row>
    <row r="3">
      <c r="A3" s="2" t="inlineStr">
        <is>
          <t>Срок поставки</t>
        </is>
      </c>
      <c r="B3" s="2" t="n">
        <v>20</v>
      </c>
      <c r="C3" s="2" t="n">
        <v>6</v>
      </c>
      <c r="D3" s="2" t="n">
        <v>10</v>
      </c>
      <c r="E3" s="2" t="n">
        <v>3</v>
      </c>
      <c r="F3" s="2">
        <f>C3*B3/100</f>
        <v/>
      </c>
      <c r="G3" s="2">
        <f>D3*B3/100</f>
        <v/>
      </c>
      <c r="H3" s="2">
        <f>E3*B3/100</f>
        <v/>
      </c>
      <c r="I3" s="2" t="inlineStr">
        <is>
          <t>Б 2 дня, А 10, В 18</t>
        </is>
      </c>
    </row>
    <row r="4">
      <c r="A4" s="2" t="inlineStr">
        <is>
          <t>Условия оплаты</t>
        </is>
      </c>
      <c r="B4" s="2" t="n">
        <v>15</v>
      </c>
      <c r="C4" s="2" t="n">
        <v>6</v>
      </c>
      <c r="D4" s="2" t="n">
        <v>10</v>
      </c>
      <c r="E4" s="2" t="n">
        <v>3</v>
      </c>
      <c r="F4" s="2">
        <f>C4*B4/100</f>
        <v/>
      </c>
      <c r="G4" s="2">
        <f>D4*B4/100</f>
        <v/>
      </c>
      <c r="H4" s="2">
        <f>E4*B4/100</f>
        <v/>
      </c>
      <c r="I4" s="2" t="inlineStr">
        <is>
          <t>Б постоплата 10 дней; А 40% предоплата; В 100%</t>
        </is>
      </c>
    </row>
    <row r="5">
      <c r="A5" s="2" t="inlineStr">
        <is>
          <t>Минимальная партия</t>
        </is>
      </c>
      <c r="B5" s="2" t="n">
        <v>10</v>
      </c>
      <c r="C5" s="2" t="n">
        <v>7</v>
      </c>
      <c r="D5" s="2" t="n">
        <v>10</v>
      </c>
      <c r="E5" s="2" t="n">
        <v>4</v>
      </c>
      <c r="F5" s="2">
        <f>C5*B5/100</f>
        <v/>
      </c>
      <c r="G5" s="2">
        <f>D5*B5/100</f>
        <v/>
      </c>
      <c r="H5" s="2">
        <f>E5*B5/100</f>
        <v/>
      </c>
      <c r="I5" s="2" t="inlineStr">
        <is>
          <t>Б 40 листов, А 160, В 400 при потребности 480</t>
        </is>
      </c>
    </row>
    <row r="6">
      <c r="A6" s="2" t="inlineStr">
        <is>
          <t>Репутация и надёжность</t>
        </is>
      </c>
      <c r="B6" s="2" t="n">
        <v>10</v>
      </c>
      <c r="C6" s="2" t="n">
        <v>6</v>
      </c>
      <c r="D6" s="2" t="n">
        <v>8</v>
      </c>
      <c r="E6" s="2" t="n">
        <v>5</v>
      </c>
      <c r="F6" s="2">
        <f>C6*B6/100</f>
        <v/>
      </c>
      <c r="G6" s="2">
        <f>D6*B6/100</f>
        <v/>
      </c>
      <c r="H6" s="2">
        <f>E6*B6/100</f>
        <v/>
      </c>
      <c r="I6" s="2" t="inlineStr">
        <is>
          <t>Б 12 лет и ISO, 1 конфликт; А 5 лет; В 4 года</t>
        </is>
      </c>
    </row>
    <row r="7">
      <c r="A7" s="2" t="inlineStr">
        <is>
          <t>Возврат брака</t>
        </is>
      </c>
      <c r="B7" s="2" t="n">
        <v>10</v>
      </c>
      <c r="C7" s="2" t="n">
        <v>6</v>
      </c>
      <c r="D7" s="2" t="n">
        <v>8</v>
      </c>
      <c r="E7" s="2" t="n">
        <v>5</v>
      </c>
      <c r="F7" s="2">
        <f>C7*B7/100</f>
        <v/>
      </c>
      <c r="G7" s="2">
        <f>D7*B7/100</f>
        <v/>
      </c>
      <c r="H7" s="2">
        <f>E7*B7/100</f>
        <v/>
      </c>
      <c r="I7" s="2" t="inlineStr">
        <is>
          <t>Б 7 дней и до 4%; А по согласованию; В замена в следующей партии</t>
        </is>
      </c>
    </row>
    <row r="8">
      <c r="A8" s="2" t="inlineStr">
        <is>
          <t>Сертификация</t>
        </is>
      </c>
      <c r="B8" s="2" t="n">
        <v>10</v>
      </c>
      <c r="C8" s="2" t="n">
        <v>7</v>
      </c>
      <c r="D8" s="2" t="n">
        <v>10</v>
      </c>
      <c r="E8" s="2" t="n">
        <v>7</v>
      </c>
      <c r="F8" s="2">
        <f>C8*B8/100</f>
        <v/>
      </c>
      <c r="G8" s="2">
        <f>D8*B8/100</f>
        <v/>
      </c>
      <c r="H8" s="2">
        <f>E8*B8/100</f>
        <v/>
      </c>
      <c r="I8" s="2" t="inlineStr">
        <is>
          <t>ЕАС у всех, ISO 9001 только у Б</t>
        </is>
      </c>
    </row>
    <row r="9">
      <c r="A9" s="4" t="inlineStr">
        <is>
          <t>Итого рейтинг</t>
        </is>
      </c>
      <c r="B9" s="4">
        <f>SUM(B2:B8)</f>
        <v/>
      </c>
      <c r="C9" s="4" t="inlineStr"/>
      <c r="D9" s="4" t="inlineStr"/>
      <c r="E9" s="4" t="inlineStr"/>
      <c r="F9" s="4">
        <f>SUM(F2:F8)</f>
        <v/>
      </c>
      <c r="G9" s="4">
        <f>SUM(G2:G8)</f>
        <v/>
      </c>
      <c r="H9" s="4">
        <f>SUM(H2:H8)</f>
        <v/>
      </c>
      <c r="I9" s="4" t="inlineStr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Победитель</t>
        </is>
      </c>
      <c r="B11" s="2">
        <f>IF(AND(G9&gt;=F9,G9&gt;=H9),"Б. Теплолист СПб",IF(F9&gt;=H9,"А. Поролон-Север","В. ПеноПласт-НН"))</f>
        <v/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Самый дешёвый по полной цене листа</t>
        </is>
      </c>
      <c r="B12" s="2" t="inlineStr">
        <is>
          <t>В. ПеноПласт-НН (1 150 ₽ против 1 240,42 ₽ и 1 410 ₽)</t>
        </is>
      </c>
      <c r="C12" s="2" t="n"/>
      <c r="D12" s="2" t="n"/>
      <c r="E12" s="2" t="n"/>
      <c r="F12" s="2" t="n"/>
      <c r="G12" s="2" t="n"/>
      <c r="H12" s="2" t="n"/>
      <c r="I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Критерий</t>
        </is>
      </c>
      <c r="B1" s="1" t="inlineStr">
        <is>
          <t>Вес, %</t>
        </is>
      </c>
      <c r="C1" s="1" t="inlineStr">
        <is>
          <t>А, балл</t>
        </is>
      </c>
      <c r="D1" s="1" t="inlineStr">
        <is>
          <t>Б, балл</t>
        </is>
      </c>
      <c r="E1" s="1" t="inlineStr">
        <is>
          <t>В, балл</t>
        </is>
      </c>
      <c r="F1" s="1" t="inlineStr">
        <is>
          <t>А, вклад</t>
        </is>
      </c>
      <c r="G1" s="1" t="inlineStr">
        <is>
          <t>Б, вклад</t>
        </is>
      </c>
      <c r="H1" s="1" t="inlineStr">
        <is>
          <t>В, вклад</t>
        </is>
      </c>
    </row>
    <row r="2">
      <c r="A2" s="2" t="inlineStr">
        <is>
          <t>Цена с логистикой</t>
        </is>
      </c>
      <c r="B2" s="2" t="n">
        <v>40</v>
      </c>
      <c r="C2" s="2" t="n">
        <v>7</v>
      </c>
      <c r="D2" s="2" t="n">
        <v>4</v>
      </c>
      <c r="E2" s="2" t="n">
        <v>10</v>
      </c>
      <c r="F2" s="2">
        <f>C2*B2/100</f>
        <v/>
      </c>
      <c r="G2" s="2">
        <f>D2*B2/100</f>
        <v/>
      </c>
      <c r="H2" s="2">
        <f>E2*B2/100</f>
        <v/>
      </c>
    </row>
    <row r="3">
      <c r="A3" s="2" t="inlineStr">
        <is>
          <t>Срок поставки</t>
        </is>
      </c>
      <c r="B3" s="2" t="n">
        <v>16</v>
      </c>
      <c r="C3" s="2" t="n">
        <v>6</v>
      </c>
      <c r="D3" s="2" t="n">
        <v>10</v>
      </c>
      <c r="E3" s="2" t="n">
        <v>3</v>
      </c>
      <c r="F3" s="2">
        <f>C3*B3/100</f>
        <v/>
      </c>
      <c r="G3" s="2">
        <f>D3*B3/100</f>
        <v/>
      </c>
      <c r="H3" s="2">
        <f>E3*B3/100</f>
        <v/>
      </c>
    </row>
    <row r="4">
      <c r="A4" s="2" t="inlineStr">
        <is>
          <t>Условия оплаты</t>
        </is>
      </c>
      <c r="B4" s="2" t="n">
        <v>12</v>
      </c>
      <c r="C4" s="2" t="n">
        <v>6</v>
      </c>
      <c r="D4" s="2" t="n">
        <v>10</v>
      </c>
      <c r="E4" s="2" t="n">
        <v>3</v>
      </c>
      <c r="F4" s="2">
        <f>C4*B4/100</f>
        <v/>
      </c>
      <c r="G4" s="2">
        <f>D4*B4/100</f>
        <v/>
      </c>
      <c r="H4" s="2">
        <f>E4*B4/100</f>
        <v/>
      </c>
    </row>
    <row r="5">
      <c r="A5" s="2" t="inlineStr">
        <is>
          <t>Минимальная партия</t>
        </is>
      </c>
      <c r="B5" s="2" t="n">
        <v>8</v>
      </c>
      <c r="C5" s="2" t="n">
        <v>7</v>
      </c>
      <c r="D5" s="2" t="n">
        <v>10</v>
      </c>
      <c r="E5" s="2" t="n">
        <v>4</v>
      </c>
      <c r="F5" s="2">
        <f>C5*B5/100</f>
        <v/>
      </c>
      <c r="G5" s="2">
        <f>D5*B5/100</f>
        <v/>
      </c>
      <c r="H5" s="2">
        <f>E5*B5/100</f>
        <v/>
      </c>
    </row>
    <row r="6">
      <c r="A6" s="2" t="inlineStr">
        <is>
          <t>Репутация и надёжность</t>
        </is>
      </c>
      <c r="B6" s="2" t="n">
        <v>8</v>
      </c>
      <c r="C6" s="2" t="n">
        <v>6</v>
      </c>
      <c r="D6" s="2" t="n">
        <v>8</v>
      </c>
      <c r="E6" s="2" t="n">
        <v>5</v>
      </c>
      <c r="F6" s="2">
        <f>C6*B6/100</f>
        <v/>
      </c>
      <c r="G6" s="2">
        <f>D6*B6/100</f>
        <v/>
      </c>
      <c r="H6" s="2">
        <f>E6*B6/100</f>
        <v/>
      </c>
    </row>
    <row r="7">
      <c r="A7" s="2" t="inlineStr">
        <is>
          <t>Возврат брака</t>
        </is>
      </c>
      <c r="B7" s="2" t="n">
        <v>8</v>
      </c>
      <c r="C7" s="2" t="n">
        <v>6</v>
      </c>
      <c r="D7" s="2" t="n">
        <v>8</v>
      </c>
      <c r="E7" s="2" t="n">
        <v>5</v>
      </c>
      <c r="F7" s="2">
        <f>C7*B7/100</f>
        <v/>
      </c>
      <c r="G7" s="2">
        <f>D7*B7/100</f>
        <v/>
      </c>
      <c r="H7" s="2">
        <f>E7*B7/100</f>
        <v/>
      </c>
    </row>
    <row r="8">
      <c r="A8" s="2" t="inlineStr">
        <is>
          <t>Сертификация</t>
        </is>
      </c>
      <c r="B8" s="2" t="n">
        <v>8</v>
      </c>
      <c r="C8" s="2" t="n">
        <v>7</v>
      </c>
      <c r="D8" s="2" t="n">
        <v>10</v>
      </c>
      <c r="E8" s="2" t="n">
        <v>7</v>
      </c>
      <c r="F8" s="2">
        <f>C8*B8/100</f>
        <v/>
      </c>
      <c r="G8" s="2">
        <f>D8*B8/100</f>
        <v/>
      </c>
      <c r="H8" s="2">
        <f>E8*B8/100</f>
        <v/>
      </c>
    </row>
    <row r="9">
      <c r="A9" s="4" t="inlineStr">
        <is>
          <t>Итого</t>
        </is>
      </c>
      <c r="B9" s="4">
        <f>SUM(B2:B8)</f>
        <v/>
      </c>
      <c r="C9" s="4" t="inlineStr"/>
      <c r="D9" s="4" t="inlineStr"/>
      <c r="E9" s="4" t="inlineStr"/>
      <c r="F9" s="4">
        <f>SUM(F2:F8)</f>
        <v/>
      </c>
      <c r="G9" s="4">
        <f>SUM(G2:G8)</f>
        <v/>
      </c>
      <c r="H9" s="4">
        <f>SUM(H2:H8)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Победитель при весе цены 40%</t>
        </is>
      </c>
      <c r="B11" s="2">
        <f>IF(AND(G9&gt;=F9,G9&gt;=H9),"Б. Теплолист СПб",IF(F9&gt;=H9,"А. Поролон-Север","В. ПеноПласт-НН"))</f>
        <v/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Выбор изменился?</t>
        </is>
      </c>
      <c r="B12" s="2" t="inlineStr">
        <is>
          <t>Нет: Б остаётся первым, разрыв сокращается</t>
        </is>
      </c>
      <c r="C12" s="2" t="n"/>
      <c r="D12" s="2" t="n"/>
      <c r="E12" s="2" t="n"/>
      <c r="F12" s="2" t="n"/>
      <c r="G12" s="2" t="n"/>
      <c r="H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2026-10-04T14:57:26Z</dcterms:created>
  <dcterms:modified xmlns:dcterms="http://purl.org/dc/terms/" xmlns:xsi="http://www.w3.org/2001/XMLSchema-instance" xsi:type="dcterms:W3CDTF">2026-10-04T14:57:27Z</dcterms:modified>
</cp:coreProperties>
</file>